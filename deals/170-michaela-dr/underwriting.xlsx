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Deal Model" sheetId="2" state="visible" r:id="rId2"/>
    <sheet name="Scenarios" sheetId="3" state="visible" r:id="rId3"/>
    <sheet name="LP Waterfall" sheetId="4" state="visible" r:id="rId4"/>
    <sheet name="Rental-Refi Test" sheetId="5" state="visible" r:id="rId5"/>
    <sheet name="Comps &amp; Marke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0.0%"/>
    <numFmt numFmtId="166" formatCode="0.00&quot;x&quot;"/>
  </numFmts>
  <fonts count="12">
    <font>
      <name val="Calibri"/>
      <family val="2"/>
      <color theme="1"/>
      <sz val="11"/>
      <scheme val="minor"/>
    </font>
    <font>
      <b val="1"/>
      <color rgb="001C2B24"/>
      <sz val="15"/>
    </font>
    <font>
      <i val="1"/>
      <color rgb="006B7A72"/>
      <sz val="10"/>
    </font>
    <font>
      <b val="1"/>
      <color rgb="001C2B24"/>
      <sz val="12"/>
    </font>
    <font>
      <color rgb="003A4A42"/>
    </font>
    <font>
      <b val="1"/>
      <color rgb="001F5CB0"/>
    </font>
    <font>
      <color rgb="006B7A72"/>
      <sz val="9"/>
    </font>
    <font>
      <b val="1"/>
    </font>
    <font>
      <b val="1"/>
      <color rgb="00B08A3E"/>
      <sz val="12"/>
    </font>
    <font>
      <b val="1"/>
      <color rgb="00FFFFFF"/>
      <sz val="11"/>
    </font>
    <font>
      <b val="1"/>
      <color rgb="00C0392B"/>
    </font>
    <font>
      <color rgb="006B7A72"/>
      <sz val="10"/>
    </font>
  </fonts>
  <fills count="7">
    <fill>
      <patternFill/>
    </fill>
    <fill>
      <patternFill patternType="gray125"/>
    </fill>
    <fill>
      <patternFill patternType="solid">
        <fgColor rgb="00EFF2ED"/>
      </patternFill>
    </fill>
    <fill>
      <patternFill patternType="solid">
        <fgColor rgb="00EAF1FB"/>
      </patternFill>
    </fill>
    <fill>
      <patternFill patternType="solid">
        <fgColor rgb="001C2B24"/>
      </patternFill>
    </fill>
    <fill>
      <patternFill patternType="solid">
        <fgColor rgb="00FDECEA"/>
      </patternFill>
    </fill>
    <fill>
      <patternFill patternType="solid">
        <fgColor rgb="00E8F3EC"/>
      </patternFill>
    </fill>
  </fills>
  <borders count="2">
    <border>
      <left/>
      <right/>
      <top/>
      <bottom/>
      <diagonal/>
    </border>
    <border>
      <bottom style="thin">
        <color rgb="00D5DAD3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0" borderId="0" pivotButton="0" quotePrefix="0" xfId="0"/>
    <xf numFmtId="164" fontId="5" fillId="3" borderId="0" pivotButton="0" quotePrefix="0" xfId="0"/>
    <xf numFmtId="0" fontId="6" fillId="0" borderId="0" pivotButton="0" quotePrefix="0" xfId="0"/>
    <xf numFmtId="3" fontId="5" fillId="3" borderId="0" pivotButton="0" quotePrefix="0" xfId="0"/>
    <xf numFmtId="165" fontId="5" fillId="3" borderId="0" pivotButton="0" quotePrefix="0" xfId="0"/>
    <xf numFmtId="1" fontId="5" fillId="3" borderId="0" pivotButton="0" quotePrefix="0" xfId="0"/>
    <xf numFmtId="0" fontId="4" fillId="0" borderId="1" pivotButton="0" quotePrefix="0" xfId="0"/>
    <xf numFmtId="164" fontId="7" fillId="0" borderId="1" pivotButton="0" quotePrefix="0" xfId="0"/>
    <xf numFmtId="164" fontId="8" fillId="0" borderId="1" pivotButton="0" quotePrefix="0" xfId="0"/>
    <xf numFmtId="165" fontId="7" fillId="0" borderId="1" pivotButton="0" quotePrefix="0" xfId="0"/>
    <xf numFmtId="166" fontId="7" fillId="0" borderId="1" pivotButton="0" quotePrefix="0" xfId="0"/>
    <xf numFmtId="0" fontId="9" fillId="4" borderId="0" applyAlignment="1" pivotButton="0" quotePrefix="0" xfId="0">
      <alignment horizontal="center" wrapText="1"/>
    </xf>
    <xf numFmtId="0" fontId="0" fillId="5" borderId="0" pivotButton="0" quotePrefix="0" xfId="0"/>
    <xf numFmtId="164" fontId="0" fillId="5" borderId="0" pivotButton="0" quotePrefix="0" xfId="0"/>
    <xf numFmtId="165" fontId="0" fillId="5" borderId="0" pivotButton="0" quotePrefix="0" xfId="0"/>
    <xf numFmtId="165" fontId="7" fillId="5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5" fontId="7" fillId="0" borderId="0" pivotButton="0" quotePrefix="0" xfId="0"/>
    <xf numFmtId="0" fontId="0" fillId="6" borderId="0" pivotButton="0" quotePrefix="0" xfId="0"/>
    <xf numFmtId="164" fontId="0" fillId="6" borderId="0" pivotButton="0" quotePrefix="0" xfId="0"/>
    <xf numFmtId="165" fontId="0" fillId="6" borderId="0" pivotButton="0" quotePrefix="0" xfId="0"/>
    <xf numFmtId="165" fontId="7" fillId="6" borderId="0" pivotButton="0" quotePrefix="0" xfId="0"/>
    <xf numFmtId="164" fontId="7" fillId="0" borderId="0" pivotButton="0" quotePrefix="0" xfId="0"/>
    <xf numFmtId="166" fontId="7" fillId="0" borderId="0" pivotButton="0" quotePrefix="0" xfId="0"/>
    <xf numFmtId="10" fontId="7" fillId="0" borderId="0" pivotButton="0" quotePrefix="0" xfId="0"/>
    <xf numFmtId="2" fontId="10" fillId="0" borderId="0" pivotButton="0" quotePrefix="0" xfId="0"/>
    <xf numFmtId="0" fontId="11" fillId="0" borderId="0" pivotButton="0" quotePrefix="0" xfId="0"/>
    <xf numFmtId="3" fontId="0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60" customWidth="1" min="3" max="3"/>
  </cols>
  <sheetData>
    <row r="1">
      <c r="A1" s="1" t="inlineStr">
        <is>
          <t>170 Michaela Dr, Alpharetta GA 30009 — Underwriting Assumptions</t>
        </is>
      </c>
    </row>
    <row r="2">
      <c r="A2" s="2" t="inlineStr">
        <is>
          <t>Edit ONLY this sheet (blue cells). All other sheets recalculate. Sources: MARKET_DATA.md, research as of July 2026.</t>
        </is>
      </c>
    </row>
    <row r="4">
      <c r="A4" s="3" t="inlineStr">
        <is>
          <t>PROPERTY</t>
        </is>
      </c>
      <c r="B4" s="4" t="n"/>
      <c r="C4" s="4" t="n"/>
      <c r="D4" s="4" t="n"/>
    </row>
    <row r="5">
      <c r="A5" s="5" t="inlineStr">
        <is>
          <t>Ask price (relisted Feb 2026; was $2,695,000 Aug 2025)</t>
        </is>
      </c>
      <c r="B5" s="6" t="n">
        <v>2150000</v>
      </c>
      <c r="C5" s="7" t="inlineStr">
        <is>
          <t>Confirmed, FMLS 7719521</t>
        </is>
      </c>
    </row>
    <row r="6">
      <c r="A6" s="5" t="inlineStr">
        <is>
          <t>Purchase price (offer basis)</t>
        </is>
      </c>
      <c r="B6" s="6" t="n">
        <v>1750000</v>
      </c>
      <c r="C6" s="7" t="inlineStr">
        <is>
          <t>Recommended MAO — see Scenarios</t>
        </is>
      </c>
    </row>
    <row r="7">
      <c r="A7" s="5" t="inlineStr">
        <is>
          <t>Square feet</t>
        </is>
      </c>
      <c r="B7" s="8" t="n">
        <v>5120</v>
      </c>
      <c r="C7" s="7" t="inlineStr">
        <is>
          <t>6bd/5.5ba, 2025 build, 0.6 ac</t>
        </is>
      </c>
    </row>
    <row r="8">
      <c r="A8" s="3" t="inlineStr">
        <is>
          <t>FINANCING (bridge acquisition loan)</t>
        </is>
      </c>
      <c r="B8" s="4" t="n"/>
      <c r="C8" s="4" t="n"/>
      <c r="D8" s="4" t="n"/>
    </row>
    <row r="9">
      <c r="A9" s="5" t="inlineStr">
        <is>
          <t>Loan-to-cost (LTC)</t>
        </is>
      </c>
      <c r="B9" s="9" t="n">
        <v>0.65</v>
      </c>
      <c r="C9" s="7" t="inlineStr">
        <is>
          <t>Stabilized new-construction bridge</t>
        </is>
      </c>
    </row>
    <row r="10">
      <c r="A10" s="5" t="inlineStr">
        <is>
          <t>Interest rate (interest-only)</t>
        </is>
      </c>
      <c r="B10" s="9" t="n">
        <v>0.095</v>
      </c>
      <c r="C10" s="7" t="inlineStr">
        <is>
          <t>Atlanta private bridge, mid-2026</t>
        </is>
      </c>
    </row>
    <row r="11">
      <c r="A11" s="5" t="inlineStr">
        <is>
          <t>Origination points</t>
        </is>
      </c>
      <c r="B11" s="9" t="n">
        <v>0.02</v>
      </c>
      <c r="C11" s="7" t="inlineStr"/>
    </row>
    <row r="12">
      <c r="A12" s="3" t="inlineStr">
        <is>
          <t>ACQUISITION &amp; SETUP</t>
        </is>
      </c>
      <c r="B12" s="4" t="n"/>
      <c r="C12" s="4" t="n"/>
      <c r="D12" s="4" t="n"/>
    </row>
    <row r="13">
      <c r="A13" s="5" t="inlineStr">
        <is>
          <t>Closing costs (% of price)</t>
        </is>
      </c>
      <c r="B13" s="9" t="n">
        <v>0.0125</v>
      </c>
      <c r="C13" s="7" t="inlineStr">
        <is>
          <t>Title, legal, transfer, inspection</t>
        </is>
      </c>
    </row>
    <row r="14">
      <c r="A14" s="5" t="inlineStr">
        <is>
          <t>Furnishing / staging budget</t>
        </is>
      </c>
      <c r="B14" s="6" t="n">
        <v>50000</v>
      </c>
      <c r="C14" s="7" t="inlineStr">
        <is>
          <t>Enables exec lease + staged sale</t>
        </is>
      </c>
    </row>
    <row r="15">
      <c r="A15" s="5" t="inlineStr">
        <is>
          <t>Working capital reserve</t>
        </is>
      </c>
      <c r="B15" s="6" t="n">
        <v>25000</v>
      </c>
      <c r="C15" s="7" t="inlineStr"/>
    </row>
    <row r="16">
      <c r="A16" s="3" t="inlineStr">
        <is>
          <t>CARRY (annual unless noted)</t>
        </is>
      </c>
      <c r="B16" s="4" t="n"/>
      <c r="C16" s="4" t="n"/>
      <c r="D16" s="4" t="n"/>
    </row>
    <row r="17">
      <c r="A17" s="5" t="inlineStr">
        <is>
          <t>Property taxes / yr (carry period)</t>
        </is>
      </c>
      <c r="B17" s="6" t="n">
        <v>20000</v>
      </c>
      <c r="C17" s="7" t="inlineStr">
        <is>
          <t>Assessed basis lags; ~$27k/yr fully reassessed non-homestead at $2.15M (31.7 mills x 40%)</t>
        </is>
      </c>
    </row>
    <row r="18">
      <c r="A18" s="5" t="inlineStr">
        <is>
          <t>Insurance / yr (high-value landlord)</t>
        </is>
      </c>
      <c r="B18" s="6" t="n">
        <v>12000</v>
      </c>
      <c r="C18" s="7" t="inlineStr">
        <is>
          <t>Chubb/PURE-tier estimate</t>
        </is>
      </c>
    </row>
    <row r="19">
      <c r="A19" s="5" t="inlineStr">
        <is>
          <t>Utilities + lawn + alarm / mo</t>
        </is>
      </c>
      <c r="B19" s="6" t="n">
        <v>750</v>
      </c>
      <c r="C19" s="7" t="inlineStr"/>
    </row>
    <row r="20">
      <c r="A20" s="3" t="inlineStr">
        <is>
          <t>OPERATIONS (furnished executive lease)</t>
        </is>
      </c>
      <c r="B20" s="4" t="n"/>
      <c r="C20" s="4" t="n"/>
      <c r="D20" s="4" t="n"/>
    </row>
    <row r="21">
      <c r="A21" s="5" t="inlineStr">
        <is>
          <t>Furnished executive rent / mo</t>
        </is>
      </c>
      <c r="B21" s="6" t="n">
        <v>8500</v>
      </c>
      <c r="C21" s="7" t="inlineStr">
        <is>
          <t>vs $5.5-7.5k unfurnished market</t>
        </is>
      </c>
    </row>
    <row r="22">
      <c r="A22" s="5" t="inlineStr">
        <is>
          <t>Lease-up / vacant months</t>
        </is>
      </c>
      <c r="B22" s="10" t="n">
        <v>3</v>
      </c>
      <c r="C22" s="7" t="inlineStr"/>
    </row>
    <row r="23">
      <c r="A23" s="5" t="inlineStr">
        <is>
          <t>Property management (% of rent)</t>
        </is>
      </c>
      <c r="B23" s="9" t="n">
        <v>0.08</v>
      </c>
      <c r="C23" s="7" t="inlineStr"/>
    </row>
    <row r="24">
      <c r="A24" s="5" t="inlineStr">
        <is>
          <t>Market rent unfurnished / mo (rental test)</t>
        </is>
      </c>
      <c r="B24" s="6" t="n">
        <v>6500</v>
      </c>
      <c r="C24" s="7" t="inlineStr">
        <is>
          <t>Comps ~$1.00-1.45/sqft</t>
        </is>
      </c>
    </row>
    <row r="25">
      <c r="A25" s="3" t="inlineStr">
        <is>
          <t>EXIT</t>
        </is>
      </c>
      <c r="B25" s="4" t="n"/>
      <c r="C25" s="4" t="n"/>
      <c r="D25" s="4" t="n"/>
    </row>
    <row r="26">
      <c r="A26" s="5" t="inlineStr">
        <is>
          <t>Exit price (base case)</t>
        </is>
      </c>
      <c r="B26" s="6" t="n">
        <v>2200000</v>
      </c>
      <c r="C26" s="7" t="inlineStr">
        <is>
          <t>Comp support $420-470/sqft = $2.15-2.41M</t>
        </is>
      </c>
    </row>
    <row r="27">
      <c r="A27" s="5" t="inlineStr">
        <is>
          <t>Hold months (base case)</t>
        </is>
      </c>
      <c r="B27" s="10" t="n">
        <v>12</v>
      </c>
      <c r="C27" s="7" t="inlineStr"/>
    </row>
    <row r="28">
      <c r="A28" s="5" t="inlineStr">
        <is>
          <t>Selling costs (% of exit)</t>
        </is>
      </c>
      <c r="B28" s="9" t="n">
        <v>0.055</v>
      </c>
      <c r="C28" s="7" t="inlineStr">
        <is>
          <t>5.0% commissions + 0.5% closing</t>
        </is>
      </c>
    </row>
    <row r="29">
      <c r="A29" s="3" t="inlineStr">
        <is>
          <t>EQUITY STRUCTURE — LP SYNDICATION</t>
        </is>
      </c>
      <c r="B29" s="4" t="n"/>
      <c r="C29" s="4" t="n"/>
      <c r="D29" s="4" t="n"/>
    </row>
    <row r="30">
      <c r="A30" s="5" t="inlineStr">
        <is>
          <t>LP share of equity</t>
        </is>
      </c>
      <c r="B30" s="9" t="n">
        <v>0.9</v>
      </c>
      <c r="C30" s="7" t="inlineStr">
        <is>
          <t>GP co-invests 10%, first-loss</t>
        </is>
      </c>
    </row>
    <row r="31">
      <c r="A31" s="5" t="inlineStr">
        <is>
          <t>LP preferred return (annualized)</t>
        </is>
      </c>
      <c r="B31" s="9" t="n">
        <v>0.08</v>
      </c>
      <c r="C31" s="7" t="inlineStr"/>
    </row>
    <row r="32">
      <c r="A32" s="5" t="inlineStr">
        <is>
          <t>LP share of post-pref profit</t>
        </is>
      </c>
      <c r="B32" s="9" t="n">
        <v>0.7</v>
      </c>
      <c r="C32" s="7" t="inlineStr">
        <is>
          <t>70/30 promote</t>
        </is>
      </c>
    </row>
    <row r="33">
      <c r="A33" s="3" t="inlineStr">
        <is>
          <t>EQUITY STRUCTURE — JV ALTERNATIVE</t>
        </is>
      </c>
      <c r="B33" s="4" t="n"/>
      <c r="C33" s="4" t="n"/>
      <c r="D33" s="4" t="n"/>
    </row>
    <row r="34">
      <c r="A34" s="5" t="inlineStr">
        <is>
          <t>JV capital-partner preferred</t>
        </is>
      </c>
      <c r="B34" s="9" t="n">
        <v>0.1</v>
      </c>
      <c r="C34" s="7" t="inlineStr">
        <is>
          <t>Partner funds 100% of equity</t>
        </is>
      </c>
    </row>
    <row r="35">
      <c r="A35" s="5" t="inlineStr">
        <is>
          <t>JV capital share post-pref</t>
        </is>
      </c>
      <c r="B35" s="9" t="n">
        <v>0.6</v>
      </c>
      <c r="C35" s="7" t="inlineStr">
        <is>
          <t>60/40, no fees</t>
        </is>
      </c>
    </row>
    <row r="36">
      <c r="A36" s="3" t="inlineStr">
        <is>
          <t>RENTAL / REFI TEST RATES</t>
        </is>
      </c>
      <c r="B36" s="4" t="n"/>
      <c r="C36" s="4" t="n"/>
      <c r="D36" s="4" t="n"/>
    </row>
    <row r="37">
      <c r="A37" s="5" t="inlineStr">
        <is>
          <t>DSCR loan rate</t>
        </is>
      </c>
      <c r="B37" s="9" t="n">
        <v>0.0725</v>
      </c>
      <c r="C37" s="7" t="inlineStr">
        <is>
          <t>Mid-2026, 75-80% LTV programs</t>
        </is>
      </c>
    </row>
    <row r="38">
      <c r="A38" s="5" t="inlineStr">
        <is>
          <t>Investor cash-out refi rate</t>
        </is>
      </c>
      <c r="B38" s="9" t="n">
        <v>0.0775</v>
      </c>
      <c r="C38" s="7" t="inlineStr">
        <is>
          <t>75% LTV cap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</cols>
  <sheetData>
    <row r="1">
      <c r="A1" s="1" t="inlineStr">
        <is>
          <t>Deal Model — Base Case (formula-driven)</t>
        </is>
      </c>
    </row>
    <row r="2">
      <c r="A2" s="2" t="inlineStr">
        <is>
          <t>Strategy B: acquire at discount, furnished executive lease during hold, resale. Driven entirely by Assumptions.</t>
        </is>
      </c>
    </row>
    <row r="4">
      <c r="A4" s="3" t="inlineStr">
        <is>
          <t>SOURCES &amp; USES</t>
        </is>
      </c>
      <c r="B4" s="4" t="n"/>
    </row>
    <row r="5">
      <c r="A5" s="11" t="inlineStr">
        <is>
          <t>Purchase price</t>
        </is>
      </c>
      <c r="B5" s="12">
        <f>Assumptions!$B$6</f>
        <v/>
      </c>
    </row>
    <row r="6">
      <c r="A6" s="11" t="inlineStr">
        <is>
          <t>Closing costs</t>
        </is>
      </c>
      <c r="B6" s="12">
        <f>Assumptions!$B$6*Assumptions!$B$13</f>
        <v/>
      </c>
    </row>
    <row r="7">
      <c r="A7" s="11" t="inlineStr">
        <is>
          <t>Bridge loan</t>
        </is>
      </c>
      <c r="B7" s="12">
        <f>Assumptions!$B$6*Assumptions!$B$9</f>
        <v/>
      </c>
    </row>
    <row r="8">
      <c r="A8" s="11" t="inlineStr">
        <is>
          <t>Origination points</t>
        </is>
      </c>
      <c r="B8" s="12">
        <f>B7*Assumptions!$B$11</f>
        <v/>
      </c>
    </row>
    <row r="9">
      <c r="A9" s="11" t="inlineStr">
        <is>
          <t>Furnishing / staging</t>
        </is>
      </c>
      <c r="B9" s="12">
        <f>Assumptions!$B$14</f>
        <v/>
      </c>
    </row>
    <row r="10">
      <c r="A10" s="11" t="inlineStr">
        <is>
          <t>Working capital</t>
        </is>
      </c>
      <c r="B10" s="12">
        <f>Assumptions!$B$15</f>
        <v/>
      </c>
    </row>
    <row r="11">
      <c r="A11" s="11" t="inlineStr">
        <is>
          <t>Total equity required (cash in)</t>
        </is>
      </c>
      <c r="B11" s="13">
        <f>B5+B6+B8+B9+B10-B7</f>
        <v/>
      </c>
    </row>
    <row r="12">
      <c r="A12" s="3" t="inlineStr">
        <is>
          <t>HOLD PERIOD</t>
        </is>
      </c>
      <c r="B12" s="4" t="n"/>
    </row>
    <row r="13">
      <c r="A13" s="11" t="inlineStr">
        <is>
          <t>Interest (IO)</t>
        </is>
      </c>
      <c r="B13" s="12">
        <f>B7*Assumptions!$B$10*Assumptions!$B$27/12</f>
        <v/>
      </c>
    </row>
    <row r="14">
      <c r="A14" s="11" t="inlineStr">
        <is>
          <t>Taxes + insurance (prorated)</t>
        </is>
      </c>
      <c r="B14" s="12">
        <f>(Assumptions!$B$17+Assumptions!$B$18)*Assumptions!$B$27/12</f>
        <v/>
      </c>
    </row>
    <row r="15">
      <c r="A15" s="11" t="inlineStr">
        <is>
          <t>Utilities / lawn / alarm</t>
        </is>
      </c>
      <c r="B15" s="12">
        <f>Assumptions!$B$19*Assumptions!$B$27</f>
        <v/>
      </c>
    </row>
    <row r="16">
      <c r="A16" s="11" t="inlineStr">
        <is>
          <t>Executive lease income (net of mgmt)</t>
        </is>
      </c>
      <c r="B16" s="12">
        <f>MAX(0,Assumptions!$B$27-Assumptions!$B$22)*Assumptions!$B$21*(1-Assumptions!$B$23)</f>
        <v/>
      </c>
    </row>
    <row r="17">
      <c r="A17" s="11" t="inlineStr">
        <is>
          <t>Net carry</t>
        </is>
      </c>
      <c r="B17" s="12">
        <f>B13+B14+B15-B16</f>
        <v/>
      </c>
    </row>
    <row r="18">
      <c r="A18" s="3" t="inlineStr">
        <is>
          <t>EXIT</t>
        </is>
      </c>
      <c r="B18" s="4" t="n"/>
    </row>
    <row r="19">
      <c r="A19" s="11" t="inlineStr">
        <is>
          <t>Gross exit price</t>
        </is>
      </c>
      <c r="B19" s="12">
        <f>Assumptions!$B$26</f>
        <v/>
      </c>
    </row>
    <row r="20">
      <c r="A20" s="11" t="inlineStr">
        <is>
          <t>Selling costs</t>
        </is>
      </c>
      <c r="B20" s="12">
        <f>B19*Assumptions!$B$28</f>
        <v/>
      </c>
    </row>
    <row r="21">
      <c r="A21" s="11" t="inlineStr">
        <is>
          <t>Loan payoff</t>
        </is>
      </c>
      <c r="B21" s="12">
        <f>B7</f>
        <v/>
      </c>
    </row>
    <row r="22">
      <c r="A22" s="11" t="inlineStr">
        <is>
          <t>Net sale proceeds to equity</t>
        </is>
      </c>
      <c r="B22" s="12">
        <f>B19-B20-B21</f>
        <v/>
      </c>
    </row>
    <row r="23">
      <c r="A23" s="3" t="inlineStr">
        <is>
          <t>RETURNS (deal level)</t>
        </is>
      </c>
      <c r="B23" s="4" t="n"/>
    </row>
    <row r="24">
      <c r="A24" s="11" t="inlineStr">
        <is>
          <t>Total profit</t>
        </is>
      </c>
      <c r="B24" s="13">
        <f>B22-B11-B17</f>
        <v/>
      </c>
    </row>
    <row r="25">
      <c r="A25" s="11" t="inlineStr">
        <is>
          <t>Return on equity (hold period)</t>
        </is>
      </c>
      <c r="B25" s="14">
        <f>B24/B11</f>
        <v/>
      </c>
    </row>
    <row r="26">
      <c r="A26" s="11" t="inlineStr">
        <is>
          <t>Annualized ROE</t>
        </is>
      </c>
      <c r="B26" s="14">
        <f>B25*12/Assumptions!$B$27</f>
        <v/>
      </c>
    </row>
    <row r="27">
      <c r="A27" s="11" t="inlineStr">
        <is>
          <t>Equity multiple</t>
        </is>
      </c>
      <c r="B27" s="15">
        <f>1+B25</f>
        <v/>
      </c>
    </row>
    <row r="28">
      <c r="A28" s="11" t="inlineStr">
        <is>
          <t>Exit $/sqft</t>
        </is>
      </c>
      <c r="B28" s="12">
        <f>B19/Assumptions!$B$7</f>
        <v/>
      </c>
    </row>
    <row r="29">
      <c r="A29" s="11" t="inlineStr">
        <is>
          <t>Basis $/sqft (all-in cost / sqft)</t>
        </is>
      </c>
      <c r="B29" s="12">
        <f>(B5+B6+B9+B13+B17)/Assumptions!$B$7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2" customWidth="1" min="4" max="4"/>
    <col width="9" customWidth="1" min="5" max="5"/>
    <col width="7" customWidth="1" min="6" max="6"/>
    <col width="10" customWidth="1" min="7" max="7"/>
    <col width="12" customWidth="1" min="8" max="8"/>
    <col width="12" customWidth="1" min="9" max="9"/>
    <col width="11" customWidth="1" min="10" max="10"/>
    <col width="15" customWidth="1" min="11" max="11"/>
    <col width="13" customWidth="1" min="12" max="12"/>
    <col width="12" customWidth="1" min="13" max="13"/>
    <col width="12" customWidth="1" min="14" max="14"/>
    <col width="9" customWidth="1" min="15" max="15"/>
    <col width="12" customWidth="1" min="16" max="16"/>
    <col width="10" customWidth="1" min="17" max="17"/>
  </cols>
  <sheetData>
    <row r="1">
      <c r="A1" s="1" t="inlineStr">
        <is>
          <t>Scenario Grid — 2 strategies x 3 purchase prices x 3 exits</t>
        </is>
      </c>
    </row>
    <row r="2">
      <c r="A2" s="2" t="inlineStr">
        <is>
          <t>Strategy A: staged vacant resale sprint (no lease, faster exit). Strategy B: furnished executive carry into spring market. Buy/Exit/Hold columns are inputs; the rest are formulas.</t>
        </is>
      </c>
    </row>
    <row r="4">
      <c r="A4" s="16" t="inlineStr">
        <is>
          <t>Strategy</t>
        </is>
      </c>
      <c r="B4" s="16" t="inlineStr">
        <is>
          <t>Buy</t>
        </is>
      </c>
      <c r="C4" s="16" t="inlineStr">
        <is>
          <t>Exit scenario</t>
        </is>
      </c>
      <c r="D4" s="16" t="inlineStr">
        <is>
          <t>Exit price</t>
        </is>
      </c>
      <c r="E4" s="16" t="inlineStr">
        <is>
          <t>Hold (mo)</t>
        </is>
      </c>
      <c r="F4" s="16" t="inlineStr">
        <is>
          <t>Lease?</t>
        </is>
      </c>
      <c r="G4" s="16" t="inlineStr">
        <is>
          <t>Setup $</t>
        </is>
      </c>
      <c r="H4" s="16" t="inlineStr">
        <is>
          <t>Loan</t>
        </is>
      </c>
      <c r="I4" s="16" t="inlineStr">
        <is>
          <t>Equity</t>
        </is>
      </c>
      <c r="J4" s="16" t="inlineStr">
        <is>
          <t>Interest</t>
        </is>
      </c>
      <c r="K4" s="16" t="inlineStr">
        <is>
          <t>Carry (tax/ins/util)</t>
        </is>
      </c>
      <c r="L4" s="16" t="inlineStr">
        <is>
          <t>Lease income (net)</t>
        </is>
      </c>
      <c r="M4" s="16" t="inlineStr">
        <is>
          <t>Sale net</t>
        </is>
      </c>
      <c r="N4" s="16" t="inlineStr">
        <is>
          <t>Profit</t>
        </is>
      </c>
      <c r="O4" s="16" t="inlineStr">
        <is>
          <t>ROE</t>
        </is>
      </c>
      <c r="P4" s="16" t="inlineStr">
        <is>
          <t>Annualized ROE</t>
        </is>
      </c>
      <c r="Q4" s="16" t="inlineStr">
        <is>
          <t>Exit $/sqft</t>
        </is>
      </c>
    </row>
    <row r="5">
      <c r="A5" s="17" t="inlineStr">
        <is>
          <t>A</t>
        </is>
      </c>
      <c r="B5" s="18" t="n">
        <v>1750000</v>
      </c>
      <c r="C5" s="17" t="inlineStr">
        <is>
          <t>Bear</t>
        </is>
      </c>
      <c r="D5" s="18" t="n">
        <v>2050000</v>
      </c>
      <c r="E5" s="17" t="n">
        <v>10</v>
      </c>
      <c r="F5" s="17" t="n">
        <v>0</v>
      </c>
      <c r="G5" s="18" t="n">
        <v>25000</v>
      </c>
      <c r="H5" s="18">
        <f>B5*Assumptions!$B$9</f>
        <v/>
      </c>
      <c r="I5" s="18">
        <f>B5+B5*Assumptions!$B$13+H5*Assumptions!$B$11+G5+Assumptions!$B$15-H5</f>
        <v/>
      </c>
      <c r="J5" s="18">
        <f>H5*Assumptions!$B$10*E5/12</f>
        <v/>
      </c>
      <c r="K5" s="18">
        <f>(Assumptions!$B$17+Assumptions!$B$18)*E5/12+Assumptions!$B$19*E5</f>
        <v/>
      </c>
      <c r="L5" s="18">
        <f>F5*MAX(0,E5-Assumptions!$B$22)*Assumptions!$B$21*(1-Assumptions!$B$23)</f>
        <v/>
      </c>
      <c r="M5" s="18">
        <f>D5*(1-Assumptions!$B$28)</f>
        <v/>
      </c>
      <c r="N5" s="18">
        <f>M5-H5+L5-J5-K5-I5</f>
        <v/>
      </c>
      <c r="O5" s="19">
        <f>N5/I5</f>
        <v/>
      </c>
      <c r="P5" s="20">
        <f>O5*12/E5</f>
        <v/>
      </c>
      <c r="Q5" s="18">
        <f>D5/Assumptions!$B$7</f>
        <v/>
      </c>
    </row>
    <row r="6">
      <c r="A6" t="inlineStr">
        <is>
          <t>A</t>
        </is>
      </c>
      <c r="B6" s="21" t="n">
        <v>1750000</v>
      </c>
      <c r="C6" t="inlineStr">
        <is>
          <t>Base</t>
        </is>
      </c>
      <c r="D6" s="21" t="n">
        <v>2200000</v>
      </c>
      <c r="E6" t="n">
        <v>8</v>
      </c>
      <c r="F6" t="n">
        <v>0</v>
      </c>
      <c r="G6" s="21" t="n">
        <v>25000</v>
      </c>
      <c r="H6" s="21">
        <f>B6*Assumptions!$B$9</f>
        <v/>
      </c>
      <c r="I6" s="21">
        <f>B6+B6*Assumptions!$B$13+H6*Assumptions!$B$11+G6+Assumptions!$B$15-H6</f>
        <v/>
      </c>
      <c r="J6" s="21">
        <f>H6*Assumptions!$B$10*E6/12</f>
        <v/>
      </c>
      <c r="K6" s="21">
        <f>(Assumptions!$B$17+Assumptions!$B$18)*E6/12+Assumptions!$B$19*E6</f>
        <v/>
      </c>
      <c r="L6" s="21">
        <f>F6*MAX(0,E6-Assumptions!$B$22)*Assumptions!$B$21*(1-Assumptions!$B$23)</f>
        <v/>
      </c>
      <c r="M6" s="21">
        <f>D6*(1-Assumptions!$B$28)</f>
        <v/>
      </c>
      <c r="N6" s="21">
        <f>M6-H6+L6-J6-K6-I6</f>
        <v/>
      </c>
      <c r="O6" s="22">
        <f>N6/I6</f>
        <v/>
      </c>
      <c r="P6" s="23">
        <f>O6*12/E6</f>
        <v/>
      </c>
      <c r="Q6" s="21">
        <f>D6/Assumptions!$B$7</f>
        <v/>
      </c>
    </row>
    <row r="7">
      <c r="A7" s="24" t="inlineStr">
        <is>
          <t>A</t>
        </is>
      </c>
      <c r="B7" s="25" t="n">
        <v>1750000</v>
      </c>
      <c r="C7" s="24" t="inlineStr">
        <is>
          <t>Bull</t>
        </is>
      </c>
      <c r="D7" s="25" t="n">
        <v>2350000</v>
      </c>
      <c r="E7" s="24" t="n">
        <v>6</v>
      </c>
      <c r="F7" s="24" t="n">
        <v>0</v>
      </c>
      <c r="G7" s="25" t="n">
        <v>25000</v>
      </c>
      <c r="H7" s="25">
        <f>B7*Assumptions!$B$9</f>
        <v/>
      </c>
      <c r="I7" s="25">
        <f>B7+B7*Assumptions!$B$13+H7*Assumptions!$B$11+G7+Assumptions!$B$15-H7</f>
        <v/>
      </c>
      <c r="J7" s="25">
        <f>H7*Assumptions!$B$10*E7/12</f>
        <v/>
      </c>
      <c r="K7" s="25">
        <f>(Assumptions!$B$17+Assumptions!$B$18)*E7/12+Assumptions!$B$19*E7</f>
        <v/>
      </c>
      <c r="L7" s="25">
        <f>F7*MAX(0,E7-Assumptions!$B$22)*Assumptions!$B$21*(1-Assumptions!$B$23)</f>
        <v/>
      </c>
      <c r="M7" s="25">
        <f>D7*(1-Assumptions!$B$28)</f>
        <v/>
      </c>
      <c r="N7" s="25">
        <f>M7-H7+L7-J7-K7-I7</f>
        <v/>
      </c>
      <c r="O7" s="26">
        <f>N7/I7</f>
        <v/>
      </c>
      <c r="P7" s="27">
        <f>O7*12/E7</f>
        <v/>
      </c>
      <c r="Q7" s="25">
        <f>D7/Assumptions!$B$7</f>
        <v/>
      </c>
    </row>
    <row r="8">
      <c r="A8" s="17" t="inlineStr">
        <is>
          <t>A</t>
        </is>
      </c>
      <c r="B8" s="18" t="n">
        <v>1825000</v>
      </c>
      <c r="C8" s="17" t="inlineStr">
        <is>
          <t>Bear</t>
        </is>
      </c>
      <c r="D8" s="18" t="n">
        <v>2050000</v>
      </c>
      <c r="E8" s="17" t="n">
        <v>10</v>
      </c>
      <c r="F8" s="17" t="n">
        <v>0</v>
      </c>
      <c r="G8" s="18" t="n">
        <v>25000</v>
      </c>
      <c r="H8" s="18">
        <f>B8*Assumptions!$B$9</f>
        <v/>
      </c>
      <c r="I8" s="18">
        <f>B8+B8*Assumptions!$B$13+H8*Assumptions!$B$11+G8+Assumptions!$B$15-H8</f>
        <v/>
      </c>
      <c r="J8" s="18">
        <f>H8*Assumptions!$B$10*E8/12</f>
        <v/>
      </c>
      <c r="K8" s="18">
        <f>(Assumptions!$B$17+Assumptions!$B$18)*E8/12+Assumptions!$B$19*E8</f>
        <v/>
      </c>
      <c r="L8" s="18">
        <f>F8*MAX(0,E8-Assumptions!$B$22)*Assumptions!$B$21*(1-Assumptions!$B$23)</f>
        <v/>
      </c>
      <c r="M8" s="18">
        <f>D8*(1-Assumptions!$B$28)</f>
        <v/>
      </c>
      <c r="N8" s="18">
        <f>M8-H8+L8-J8-K8-I8</f>
        <v/>
      </c>
      <c r="O8" s="19">
        <f>N8/I8</f>
        <v/>
      </c>
      <c r="P8" s="20">
        <f>O8*12/E8</f>
        <v/>
      </c>
      <c r="Q8" s="18">
        <f>D8/Assumptions!$B$7</f>
        <v/>
      </c>
    </row>
    <row r="9">
      <c r="A9" t="inlineStr">
        <is>
          <t>A</t>
        </is>
      </c>
      <c r="B9" s="21" t="n">
        <v>1825000</v>
      </c>
      <c r="C9" t="inlineStr">
        <is>
          <t>Base</t>
        </is>
      </c>
      <c r="D9" s="21" t="n">
        <v>2200000</v>
      </c>
      <c r="E9" t="n">
        <v>8</v>
      </c>
      <c r="F9" t="n">
        <v>0</v>
      </c>
      <c r="G9" s="21" t="n">
        <v>25000</v>
      </c>
      <c r="H9" s="21">
        <f>B9*Assumptions!$B$9</f>
        <v/>
      </c>
      <c r="I9" s="21">
        <f>B9+B9*Assumptions!$B$13+H9*Assumptions!$B$11+G9+Assumptions!$B$15-H9</f>
        <v/>
      </c>
      <c r="J9" s="21">
        <f>H9*Assumptions!$B$10*E9/12</f>
        <v/>
      </c>
      <c r="K9" s="21">
        <f>(Assumptions!$B$17+Assumptions!$B$18)*E9/12+Assumptions!$B$19*E9</f>
        <v/>
      </c>
      <c r="L9" s="21">
        <f>F9*MAX(0,E9-Assumptions!$B$22)*Assumptions!$B$21*(1-Assumptions!$B$23)</f>
        <v/>
      </c>
      <c r="M9" s="21">
        <f>D9*(1-Assumptions!$B$28)</f>
        <v/>
      </c>
      <c r="N9" s="21">
        <f>M9-H9+L9-J9-K9-I9</f>
        <v/>
      </c>
      <c r="O9" s="22">
        <f>N9/I9</f>
        <v/>
      </c>
      <c r="P9" s="23">
        <f>O9*12/E9</f>
        <v/>
      </c>
      <c r="Q9" s="21">
        <f>D9/Assumptions!$B$7</f>
        <v/>
      </c>
    </row>
    <row r="10">
      <c r="A10" s="24" t="inlineStr">
        <is>
          <t>A</t>
        </is>
      </c>
      <c r="B10" s="25" t="n">
        <v>1825000</v>
      </c>
      <c r="C10" s="24" t="inlineStr">
        <is>
          <t>Bull</t>
        </is>
      </c>
      <c r="D10" s="25" t="n">
        <v>2350000</v>
      </c>
      <c r="E10" s="24" t="n">
        <v>6</v>
      </c>
      <c r="F10" s="24" t="n">
        <v>0</v>
      </c>
      <c r="G10" s="25" t="n">
        <v>25000</v>
      </c>
      <c r="H10" s="25">
        <f>B10*Assumptions!$B$9</f>
        <v/>
      </c>
      <c r="I10" s="25">
        <f>B10+B10*Assumptions!$B$13+H10*Assumptions!$B$11+G10+Assumptions!$B$15-H10</f>
        <v/>
      </c>
      <c r="J10" s="25">
        <f>H10*Assumptions!$B$10*E10/12</f>
        <v/>
      </c>
      <c r="K10" s="25">
        <f>(Assumptions!$B$17+Assumptions!$B$18)*E10/12+Assumptions!$B$19*E10</f>
        <v/>
      </c>
      <c r="L10" s="25">
        <f>F10*MAX(0,E10-Assumptions!$B$22)*Assumptions!$B$21*(1-Assumptions!$B$23)</f>
        <v/>
      </c>
      <c r="M10" s="25">
        <f>D10*(1-Assumptions!$B$28)</f>
        <v/>
      </c>
      <c r="N10" s="25">
        <f>M10-H10+L10-J10-K10-I10</f>
        <v/>
      </c>
      <c r="O10" s="26">
        <f>N10/I10</f>
        <v/>
      </c>
      <c r="P10" s="27">
        <f>O10*12/E10</f>
        <v/>
      </c>
      <c r="Q10" s="25">
        <f>D10/Assumptions!$B$7</f>
        <v/>
      </c>
    </row>
    <row r="11">
      <c r="A11" s="17" t="inlineStr">
        <is>
          <t>A</t>
        </is>
      </c>
      <c r="B11" s="18" t="n">
        <v>1950000</v>
      </c>
      <c r="C11" s="17" t="inlineStr">
        <is>
          <t>Bear</t>
        </is>
      </c>
      <c r="D11" s="18" t="n">
        <v>2050000</v>
      </c>
      <c r="E11" s="17" t="n">
        <v>10</v>
      </c>
      <c r="F11" s="17" t="n">
        <v>0</v>
      </c>
      <c r="G11" s="18" t="n">
        <v>25000</v>
      </c>
      <c r="H11" s="18">
        <f>B11*Assumptions!$B$9</f>
        <v/>
      </c>
      <c r="I11" s="18">
        <f>B11+B11*Assumptions!$B$13+H11*Assumptions!$B$11+G11+Assumptions!$B$15-H11</f>
        <v/>
      </c>
      <c r="J11" s="18">
        <f>H11*Assumptions!$B$10*E11/12</f>
        <v/>
      </c>
      <c r="K11" s="18">
        <f>(Assumptions!$B$17+Assumptions!$B$18)*E11/12+Assumptions!$B$19*E11</f>
        <v/>
      </c>
      <c r="L11" s="18">
        <f>F11*MAX(0,E11-Assumptions!$B$22)*Assumptions!$B$21*(1-Assumptions!$B$23)</f>
        <v/>
      </c>
      <c r="M11" s="18">
        <f>D11*(1-Assumptions!$B$28)</f>
        <v/>
      </c>
      <c r="N11" s="18">
        <f>M11-H11+L11-J11-K11-I11</f>
        <v/>
      </c>
      <c r="O11" s="19">
        <f>N11/I11</f>
        <v/>
      </c>
      <c r="P11" s="20">
        <f>O11*12/E11</f>
        <v/>
      </c>
      <c r="Q11" s="18">
        <f>D11/Assumptions!$B$7</f>
        <v/>
      </c>
    </row>
    <row r="12">
      <c r="A12" t="inlineStr">
        <is>
          <t>A</t>
        </is>
      </c>
      <c r="B12" s="21" t="n">
        <v>1950000</v>
      </c>
      <c r="C12" t="inlineStr">
        <is>
          <t>Base</t>
        </is>
      </c>
      <c r="D12" s="21" t="n">
        <v>2200000</v>
      </c>
      <c r="E12" t="n">
        <v>8</v>
      </c>
      <c r="F12" t="n">
        <v>0</v>
      </c>
      <c r="G12" s="21" t="n">
        <v>25000</v>
      </c>
      <c r="H12" s="21">
        <f>B12*Assumptions!$B$9</f>
        <v/>
      </c>
      <c r="I12" s="21">
        <f>B12+B12*Assumptions!$B$13+H12*Assumptions!$B$11+G12+Assumptions!$B$15-H12</f>
        <v/>
      </c>
      <c r="J12" s="21">
        <f>H12*Assumptions!$B$10*E12/12</f>
        <v/>
      </c>
      <c r="K12" s="21">
        <f>(Assumptions!$B$17+Assumptions!$B$18)*E12/12+Assumptions!$B$19*E12</f>
        <v/>
      </c>
      <c r="L12" s="21">
        <f>F12*MAX(0,E12-Assumptions!$B$22)*Assumptions!$B$21*(1-Assumptions!$B$23)</f>
        <v/>
      </c>
      <c r="M12" s="21">
        <f>D12*(1-Assumptions!$B$28)</f>
        <v/>
      </c>
      <c r="N12" s="21">
        <f>M12-H12+L12-J12-K12-I12</f>
        <v/>
      </c>
      <c r="O12" s="22">
        <f>N12/I12</f>
        <v/>
      </c>
      <c r="P12" s="23">
        <f>O12*12/E12</f>
        <v/>
      </c>
      <c r="Q12" s="21">
        <f>D12/Assumptions!$B$7</f>
        <v/>
      </c>
    </row>
    <row r="13">
      <c r="A13" s="24" t="inlineStr">
        <is>
          <t>A</t>
        </is>
      </c>
      <c r="B13" s="25" t="n">
        <v>1950000</v>
      </c>
      <c r="C13" s="24" t="inlineStr">
        <is>
          <t>Bull</t>
        </is>
      </c>
      <c r="D13" s="25" t="n">
        <v>2350000</v>
      </c>
      <c r="E13" s="24" t="n">
        <v>6</v>
      </c>
      <c r="F13" s="24" t="n">
        <v>0</v>
      </c>
      <c r="G13" s="25" t="n">
        <v>25000</v>
      </c>
      <c r="H13" s="25">
        <f>B13*Assumptions!$B$9</f>
        <v/>
      </c>
      <c r="I13" s="25">
        <f>B13+B13*Assumptions!$B$13+H13*Assumptions!$B$11+G13+Assumptions!$B$15-H13</f>
        <v/>
      </c>
      <c r="J13" s="25">
        <f>H13*Assumptions!$B$10*E13/12</f>
        <v/>
      </c>
      <c r="K13" s="25">
        <f>(Assumptions!$B$17+Assumptions!$B$18)*E13/12+Assumptions!$B$19*E13</f>
        <v/>
      </c>
      <c r="L13" s="25">
        <f>F13*MAX(0,E13-Assumptions!$B$22)*Assumptions!$B$21*(1-Assumptions!$B$23)</f>
        <v/>
      </c>
      <c r="M13" s="25">
        <f>D13*(1-Assumptions!$B$28)</f>
        <v/>
      </c>
      <c r="N13" s="25">
        <f>M13-H13+L13-J13-K13-I13</f>
        <v/>
      </c>
      <c r="O13" s="26">
        <f>N13/I13</f>
        <v/>
      </c>
      <c r="P13" s="27">
        <f>O13*12/E13</f>
        <v/>
      </c>
      <c r="Q13" s="25">
        <f>D13/Assumptions!$B$7</f>
        <v/>
      </c>
    </row>
    <row r="14">
      <c r="A14" s="17" t="inlineStr">
        <is>
          <t>B</t>
        </is>
      </c>
      <c r="B14" s="18" t="n">
        <v>1750000</v>
      </c>
      <c r="C14" s="17" t="inlineStr">
        <is>
          <t>Bear</t>
        </is>
      </c>
      <c r="D14" s="18" t="n">
        <v>2050000</v>
      </c>
      <c r="E14" s="17" t="n">
        <v>14</v>
      </c>
      <c r="F14" s="17" t="n">
        <v>1</v>
      </c>
      <c r="G14" s="18" t="n">
        <v>50000</v>
      </c>
      <c r="H14" s="18">
        <f>B14*Assumptions!$B$9</f>
        <v/>
      </c>
      <c r="I14" s="18">
        <f>B14+B14*Assumptions!$B$13+H14*Assumptions!$B$11+G14+Assumptions!$B$15-H14</f>
        <v/>
      </c>
      <c r="J14" s="18">
        <f>H14*Assumptions!$B$10*E14/12</f>
        <v/>
      </c>
      <c r="K14" s="18">
        <f>(Assumptions!$B$17+Assumptions!$B$18)*E14/12+Assumptions!$B$19*E14</f>
        <v/>
      </c>
      <c r="L14" s="18">
        <f>F14*MAX(0,E14-Assumptions!$B$22)*Assumptions!$B$21*(1-Assumptions!$B$23)</f>
        <v/>
      </c>
      <c r="M14" s="18">
        <f>D14*(1-Assumptions!$B$28)</f>
        <v/>
      </c>
      <c r="N14" s="18">
        <f>M14-H14+L14-J14-K14-I14</f>
        <v/>
      </c>
      <c r="O14" s="19">
        <f>N14/I14</f>
        <v/>
      </c>
      <c r="P14" s="20">
        <f>O14*12/E14</f>
        <v/>
      </c>
      <c r="Q14" s="18">
        <f>D14/Assumptions!$B$7</f>
        <v/>
      </c>
    </row>
    <row r="15">
      <c r="A15" t="inlineStr">
        <is>
          <t>B</t>
        </is>
      </c>
      <c r="B15" s="21" t="n">
        <v>1750000</v>
      </c>
      <c r="C15" t="inlineStr">
        <is>
          <t>Base</t>
        </is>
      </c>
      <c r="D15" s="21" t="n">
        <v>2200000</v>
      </c>
      <c r="E15" t="n">
        <v>12</v>
      </c>
      <c r="F15" t="n">
        <v>1</v>
      </c>
      <c r="G15" s="21" t="n">
        <v>50000</v>
      </c>
      <c r="H15" s="21">
        <f>B15*Assumptions!$B$9</f>
        <v/>
      </c>
      <c r="I15" s="21">
        <f>B15+B15*Assumptions!$B$13+H15*Assumptions!$B$11+G15+Assumptions!$B$15-H15</f>
        <v/>
      </c>
      <c r="J15" s="21">
        <f>H15*Assumptions!$B$10*E15/12</f>
        <v/>
      </c>
      <c r="K15" s="21">
        <f>(Assumptions!$B$17+Assumptions!$B$18)*E15/12+Assumptions!$B$19*E15</f>
        <v/>
      </c>
      <c r="L15" s="21">
        <f>F15*MAX(0,E15-Assumptions!$B$22)*Assumptions!$B$21*(1-Assumptions!$B$23)</f>
        <v/>
      </c>
      <c r="M15" s="21">
        <f>D15*(1-Assumptions!$B$28)</f>
        <v/>
      </c>
      <c r="N15" s="21">
        <f>M15-H15+L15-J15-K15-I15</f>
        <v/>
      </c>
      <c r="O15" s="22">
        <f>N15/I15</f>
        <v/>
      </c>
      <c r="P15" s="23">
        <f>O15*12/E15</f>
        <v/>
      </c>
      <c r="Q15" s="21">
        <f>D15/Assumptions!$B$7</f>
        <v/>
      </c>
    </row>
    <row r="16">
      <c r="A16" s="24" t="inlineStr">
        <is>
          <t>B</t>
        </is>
      </c>
      <c r="B16" s="25" t="n">
        <v>1750000</v>
      </c>
      <c r="C16" s="24" t="inlineStr">
        <is>
          <t>Bull</t>
        </is>
      </c>
      <c r="D16" s="25" t="n">
        <v>2350000</v>
      </c>
      <c r="E16" s="24" t="n">
        <v>10</v>
      </c>
      <c r="F16" s="24" t="n">
        <v>1</v>
      </c>
      <c r="G16" s="25" t="n">
        <v>50000</v>
      </c>
      <c r="H16" s="25">
        <f>B16*Assumptions!$B$9</f>
        <v/>
      </c>
      <c r="I16" s="25">
        <f>B16+B16*Assumptions!$B$13+H16*Assumptions!$B$11+G16+Assumptions!$B$15-H16</f>
        <v/>
      </c>
      <c r="J16" s="25">
        <f>H16*Assumptions!$B$10*E16/12</f>
        <v/>
      </c>
      <c r="K16" s="25">
        <f>(Assumptions!$B$17+Assumptions!$B$18)*E16/12+Assumptions!$B$19*E16</f>
        <v/>
      </c>
      <c r="L16" s="25">
        <f>F16*MAX(0,E16-Assumptions!$B$22)*Assumptions!$B$21*(1-Assumptions!$B$23)</f>
        <v/>
      </c>
      <c r="M16" s="25">
        <f>D16*(1-Assumptions!$B$28)</f>
        <v/>
      </c>
      <c r="N16" s="25">
        <f>M16-H16+L16-J16-K16-I16</f>
        <v/>
      </c>
      <c r="O16" s="26">
        <f>N16/I16</f>
        <v/>
      </c>
      <c r="P16" s="27">
        <f>O16*12/E16</f>
        <v/>
      </c>
      <c r="Q16" s="25">
        <f>D16/Assumptions!$B$7</f>
        <v/>
      </c>
    </row>
    <row r="17">
      <c r="A17" s="17" t="inlineStr">
        <is>
          <t>B</t>
        </is>
      </c>
      <c r="B17" s="18" t="n">
        <v>1825000</v>
      </c>
      <c r="C17" s="17" t="inlineStr">
        <is>
          <t>Bear</t>
        </is>
      </c>
      <c r="D17" s="18" t="n">
        <v>2050000</v>
      </c>
      <c r="E17" s="17" t="n">
        <v>14</v>
      </c>
      <c r="F17" s="17" t="n">
        <v>1</v>
      </c>
      <c r="G17" s="18" t="n">
        <v>50000</v>
      </c>
      <c r="H17" s="18">
        <f>B17*Assumptions!$B$9</f>
        <v/>
      </c>
      <c r="I17" s="18">
        <f>B17+B17*Assumptions!$B$13+H17*Assumptions!$B$11+G17+Assumptions!$B$15-H17</f>
        <v/>
      </c>
      <c r="J17" s="18">
        <f>H17*Assumptions!$B$10*E17/12</f>
        <v/>
      </c>
      <c r="K17" s="18">
        <f>(Assumptions!$B$17+Assumptions!$B$18)*E17/12+Assumptions!$B$19*E17</f>
        <v/>
      </c>
      <c r="L17" s="18">
        <f>F17*MAX(0,E17-Assumptions!$B$22)*Assumptions!$B$21*(1-Assumptions!$B$23)</f>
        <v/>
      </c>
      <c r="M17" s="18">
        <f>D17*(1-Assumptions!$B$28)</f>
        <v/>
      </c>
      <c r="N17" s="18">
        <f>M17-H17+L17-J17-K17-I17</f>
        <v/>
      </c>
      <c r="O17" s="19">
        <f>N17/I17</f>
        <v/>
      </c>
      <c r="P17" s="20">
        <f>O17*12/E17</f>
        <v/>
      </c>
      <c r="Q17" s="18">
        <f>D17/Assumptions!$B$7</f>
        <v/>
      </c>
    </row>
    <row r="18">
      <c r="A18" t="inlineStr">
        <is>
          <t>B</t>
        </is>
      </c>
      <c r="B18" s="21" t="n">
        <v>1825000</v>
      </c>
      <c r="C18" t="inlineStr">
        <is>
          <t>Base</t>
        </is>
      </c>
      <c r="D18" s="21" t="n">
        <v>2200000</v>
      </c>
      <c r="E18" t="n">
        <v>12</v>
      </c>
      <c r="F18" t="n">
        <v>1</v>
      </c>
      <c r="G18" s="21" t="n">
        <v>50000</v>
      </c>
      <c r="H18" s="21">
        <f>B18*Assumptions!$B$9</f>
        <v/>
      </c>
      <c r="I18" s="21">
        <f>B18+B18*Assumptions!$B$13+H18*Assumptions!$B$11+G18+Assumptions!$B$15-H18</f>
        <v/>
      </c>
      <c r="J18" s="21">
        <f>H18*Assumptions!$B$10*E18/12</f>
        <v/>
      </c>
      <c r="K18" s="21">
        <f>(Assumptions!$B$17+Assumptions!$B$18)*E18/12+Assumptions!$B$19*E18</f>
        <v/>
      </c>
      <c r="L18" s="21">
        <f>F18*MAX(0,E18-Assumptions!$B$22)*Assumptions!$B$21*(1-Assumptions!$B$23)</f>
        <v/>
      </c>
      <c r="M18" s="21">
        <f>D18*(1-Assumptions!$B$28)</f>
        <v/>
      </c>
      <c r="N18" s="21">
        <f>M18-H18+L18-J18-K18-I18</f>
        <v/>
      </c>
      <c r="O18" s="22">
        <f>N18/I18</f>
        <v/>
      </c>
      <c r="P18" s="23">
        <f>O18*12/E18</f>
        <v/>
      </c>
      <c r="Q18" s="21">
        <f>D18/Assumptions!$B$7</f>
        <v/>
      </c>
    </row>
    <row r="19">
      <c r="A19" s="24" t="inlineStr">
        <is>
          <t>B</t>
        </is>
      </c>
      <c r="B19" s="25" t="n">
        <v>1825000</v>
      </c>
      <c r="C19" s="24" t="inlineStr">
        <is>
          <t>Bull</t>
        </is>
      </c>
      <c r="D19" s="25" t="n">
        <v>2350000</v>
      </c>
      <c r="E19" s="24" t="n">
        <v>10</v>
      </c>
      <c r="F19" s="24" t="n">
        <v>1</v>
      </c>
      <c r="G19" s="25" t="n">
        <v>50000</v>
      </c>
      <c r="H19" s="25">
        <f>B19*Assumptions!$B$9</f>
        <v/>
      </c>
      <c r="I19" s="25">
        <f>B19+B19*Assumptions!$B$13+H19*Assumptions!$B$11+G19+Assumptions!$B$15-H19</f>
        <v/>
      </c>
      <c r="J19" s="25">
        <f>H19*Assumptions!$B$10*E19/12</f>
        <v/>
      </c>
      <c r="K19" s="25">
        <f>(Assumptions!$B$17+Assumptions!$B$18)*E19/12+Assumptions!$B$19*E19</f>
        <v/>
      </c>
      <c r="L19" s="25">
        <f>F19*MAX(0,E19-Assumptions!$B$22)*Assumptions!$B$21*(1-Assumptions!$B$23)</f>
        <v/>
      </c>
      <c r="M19" s="25">
        <f>D19*(1-Assumptions!$B$28)</f>
        <v/>
      </c>
      <c r="N19" s="25">
        <f>M19-H19+L19-J19-K19-I19</f>
        <v/>
      </c>
      <c r="O19" s="26">
        <f>N19/I19</f>
        <v/>
      </c>
      <c r="P19" s="27">
        <f>O19*12/E19</f>
        <v/>
      </c>
      <c r="Q19" s="25">
        <f>D19/Assumptions!$B$7</f>
        <v/>
      </c>
    </row>
    <row r="20">
      <c r="A20" s="17" t="inlineStr">
        <is>
          <t>B</t>
        </is>
      </c>
      <c r="B20" s="18" t="n">
        <v>1950000</v>
      </c>
      <c r="C20" s="17" t="inlineStr">
        <is>
          <t>Bear</t>
        </is>
      </c>
      <c r="D20" s="18" t="n">
        <v>2050000</v>
      </c>
      <c r="E20" s="17" t="n">
        <v>14</v>
      </c>
      <c r="F20" s="17" t="n">
        <v>1</v>
      </c>
      <c r="G20" s="18" t="n">
        <v>50000</v>
      </c>
      <c r="H20" s="18">
        <f>B20*Assumptions!$B$9</f>
        <v/>
      </c>
      <c r="I20" s="18">
        <f>B20+B20*Assumptions!$B$13+H20*Assumptions!$B$11+G20+Assumptions!$B$15-H20</f>
        <v/>
      </c>
      <c r="J20" s="18">
        <f>H20*Assumptions!$B$10*E20/12</f>
        <v/>
      </c>
      <c r="K20" s="18">
        <f>(Assumptions!$B$17+Assumptions!$B$18)*E20/12+Assumptions!$B$19*E20</f>
        <v/>
      </c>
      <c r="L20" s="18">
        <f>F20*MAX(0,E20-Assumptions!$B$22)*Assumptions!$B$21*(1-Assumptions!$B$23)</f>
        <v/>
      </c>
      <c r="M20" s="18">
        <f>D20*(1-Assumptions!$B$28)</f>
        <v/>
      </c>
      <c r="N20" s="18">
        <f>M20-H20+L20-J20-K20-I20</f>
        <v/>
      </c>
      <c r="O20" s="19">
        <f>N20/I20</f>
        <v/>
      </c>
      <c r="P20" s="20">
        <f>O20*12/E20</f>
        <v/>
      </c>
      <c r="Q20" s="18">
        <f>D20/Assumptions!$B$7</f>
        <v/>
      </c>
    </row>
    <row r="21">
      <c r="A21" t="inlineStr">
        <is>
          <t>B</t>
        </is>
      </c>
      <c r="B21" s="21" t="n">
        <v>1950000</v>
      </c>
      <c r="C21" t="inlineStr">
        <is>
          <t>Base</t>
        </is>
      </c>
      <c r="D21" s="21" t="n">
        <v>2200000</v>
      </c>
      <c r="E21" t="n">
        <v>12</v>
      </c>
      <c r="F21" t="n">
        <v>1</v>
      </c>
      <c r="G21" s="21" t="n">
        <v>50000</v>
      </c>
      <c r="H21" s="21">
        <f>B21*Assumptions!$B$9</f>
        <v/>
      </c>
      <c r="I21" s="21">
        <f>B21+B21*Assumptions!$B$13+H21*Assumptions!$B$11+G21+Assumptions!$B$15-H21</f>
        <v/>
      </c>
      <c r="J21" s="21">
        <f>H21*Assumptions!$B$10*E21/12</f>
        <v/>
      </c>
      <c r="K21" s="21">
        <f>(Assumptions!$B$17+Assumptions!$B$18)*E21/12+Assumptions!$B$19*E21</f>
        <v/>
      </c>
      <c r="L21" s="21">
        <f>F21*MAX(0,E21-Assumptions!$B$22)*Assumptions!$B$21*(1-Assumptions!$B$23)</f>
        <v/>
      </c>
      <c r="M21" s="21">
        <f>D21*(1-Assumptions!$B$28)</f>
        <v/>
      </c>
      <c r="N21" s="21">
        <f>M21-H21+L21-J21-K21-I21</f>
        <v/>
      </c>
      <c r="O21" s="22">
        <f>N21/I21</f>
        <v/>
      </c>
      <c r="P21" s="23">
        <f>O21*12/E21</f>
        <v/>
      </c>
      <c r="Q21" s="21">
        <f>D21/Assumptions!$B$7</f>
        <v/>
      </c>
    </row>
    <row r="22">
      <c r="A22" s="24" t="inlineStr">
        <is>
          <t>B</t>
        </is>
      </c>
      <c r="B22" s="25" t="n">
        <v>1950000</v>
      </c>
      <c r="C22" s="24" t="inlineStr">
        <is>
          <t>Bull</t>
        </is>
      </c>
      <c r="D22" s="25" t="n">
        <v>2350000</v>
      </c>
      <c r="E22" s="24" t="n">
        <v>10</v>
      </c>
      <c r="F22" s="24" t="n">
        <v>1</v>
      </c>
      <c r="G22" s="25" t="n">
        <v>50000</v>
      </c>
      <c r="H22" s="25">
        <f>B22*Assumptions!$B$9</f>
        <v/>
      </c>
      <c r="I22" s="25">
        <f>B22+B22*Assumptions!$B$13+H22*Assumptions!$B$11+G22+Assumptions!$B$15-H22</f>
        <v/>
      </c>
      <c r="J22" s="25">
        <f>H22*Assumptions!$B$10*E22/12</f>
        <v/>
      </c>
      <c r="K22" s="25">
        <f>(Assumptions!$B$17+Assumptions!$B$18)*E22/12+Assumptions!$B$19*E22</f>
        <v/>
      </c>
      <c r="L22" s="25">
        <f>F22*MAX(0,E22-Assumptions!$B$22)*Assumptions!$B$21*(1-Assumptions!$B$23)</f>
        <v/>
      </c>
      <c r="M22" s="25">
        <f>D22*(1-Assumptions!$B$28)</f>
        <v/>
      </c>
      <c r="N22" s="25">
        <f>M22-H22+L22-J22-K22-I22</f>
        <v/>
      </c>
      <c r="O22" s="26">
        <f>N22/I22</f>
        <v/>
      </c>
      <c r="P22" s="27">
        <f>O22*12/E22</f>
        <v/>
      </c>
      <c r="Q22" s="25">
        <f>D22/Assumptions!$B$7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38" customWidth="1" min="1" max="1"/>
    <col width="30" customWidth="1" min="2" max="2"/>
    <col width="16" customWidth="1" min="3" max="3"/>
    <col width="36" customWidth="1" min="4" max="4"/>
    <col width="16" customWidth="1" min="5" max="5"/>
  </cols>
  <sheetData>
    <row r="1">
      <c r="A1" s="1" t="inlineStr">
        <is>
          <t>Equity Waterfall — LP Syndication vs. Single-Partner JV</t>
        </is>
      </c>
    </row>
    <row r="2">
      <c r="A2" s="2" t="inlineStr">
        <is>
          <t>Left: LP syndication (90/10 co-invest, pref, promote; GP co-invest is FIRST-LOSS). Right: JV (partner funds 100%, pref, split, no fees). Pulls base case from Deal Model.</t>
        </is>
      </c>
    </row>
    <row r="4">
      <c r="A4" s="3" t="inlineStr">
        <is>
          <t>LP SYNDICATION</t>
        </is>
      </c>
      <c r="B4" s="4" t="n"/>
      <c r="D4" s="3" t="inlineStr">
        <is>
          <t>JV ALTERNATIVE</t>
        </is>
      </c>
      <c r="E4" s="4" t="n"/>
    </row>
    <row r="5">
      <c r="A5" s="5" t="inlineStr">
        <is>
          <t>Total equity (from Deal Model)</t>
        </is>
      </c>
      <c r="B5" s="28">
        <f>'Deal Model'!B11</f>
        <v/>
      </c>
      <c r="D5" s="5" t="inlineStr">
        <is>
          <t>Capital partner funds (100% of equity)</t>
        </is>
      </c>
      <c r="E5" s="28">
        <f>'Deal Model'!B11</f>
        <v/>
      </c>
    </row>
    <row r="6">
      <c r="A6" s="5" t="inlineStr">
        <is>
          <t>Deal profit (from Deal Model)</t>
        </is>
      </c>
      <c r="B6" s="28">
        <f>'Deal Model'!B24</f>
        <v/>
      </c>
      <c r="D6" s="5" t="inlineStr">
        <is>
          <t>Deal profit</t>
        </is>
      </c>
      <c r="E6" s="28">
        <f>'Deal Model'!B24</f>
        <v/>
      </c>
    </row>
    <row r="7">
      <c r="A7" s="5" t="inlineStr">
        <is>
          <t>LP capital</t>
        </is>
      </c>
      <c r="B7" s="28">
        <f>B5*Assumptions!$B$30</f>
        <v/>
      </c>
      <c r="D7" s="5" t="inlineStr">
        <is>
          <t>Capital partner preferred</t>
        </is>
      </c>
      <c r="E7" s="28">
        <f>E5*Assumptions!$B$34*Assumptions!$B$27/12</f>
        <v/>
      </c>
    </row>
    <row r="8">
      <c r="A8" s="5" t="inlineStr">
        <is>
          <t>GP co-invest capital</t>
        </is>
      </c>
      <c r="B8" s="28">
        <f>B5-B7</f>
        <v/>
      </c>
      <c r="D8" s="5" t="inlineStr">
        <is>
          <t>Residual after pref</t>
        </is>
      </c>
      <c r="E8" s="28">
        <f>MAX(0,E6-E7)</f>
        <v/>
      </c>
    </row>
    <row r="9">
      <c r="A9" s="5" t="inlineStr">
        <is>
          <t>LP preferred (pro-rated for hold)</t>
        </is>
      </c>
      <c r="B9" s="28">
        <f>B7*Assumptions!$B$31*Assumptions!$B$27/12</f>
        <v/>
      </c>
      <c r="D9" s="5" t="inlineStr">
        <is>
          <t>Capital partner total profit</t>
        </is>
      </c>
      <c r="E9" s="28">
        <f>MIN(E6,E7)+E8*Assumptions!$B$35</f>
        <v/>
      </c>
    </row>
    <row r="10">
      <c r="A10" s="5" t="inlineStr">
        <is>
          <t>GP pref on co-invest</t>
        </is>
      </c>
      <c r="B10" s="28">
        <f>B8*Assumptions!$B$31*Assumptions!$B$27/12</f>
        <v/>
      </c>
      <c r="D10" s="5" t="inlineStr">
        <is>
          <t>Operator profit (sweat equity)</t>
        </is>
      </c>
      <c r="E10" s="28">
        <f>E6-E9</f>
        <v/>
      </c>
    </row>
    <row r="11">
      <c r="A11" s="5" t="inlineStr">
        <is>
          <t>Residual after prefs</t>
        </is>
      </c>
      <c r="B11" s="28">
        <f>MAX(0,B6-B9-B10)</f>
        <v/>
      </c>
      <c r="D11" s="5" t="inlineStr">
        <is>
          <t>Capital partner annualized</t>
        </is>
      </c>
      <c r="E11" s="23">
        <f>E9/E5*12/Assumptions!$B$27</f>
        <v/>
      </c>
    </row>
    <row r="12">
      <c r="A12" s="5" t="inlineStr">
        <is>
          <t>LP total profit</t>
        </is>
      </c>
      <c r="B12" s="28">
        <f>IF(B6&lt;B9, B6-MAX(MIN(0,B6),-B8), B9+B11*Assumptions!$B$32)</f>
        <v/>
      </c>
      <c r="D12" s="5" t="inlineStr">
        <is>
          <t>Capital partner equity multiple</t>
        </is>
      </c>
      <c r="E12" s="29">
        <f>1+E9/E5</f>
        <v/>
      </c>
    </row>
    <row r="13">
      <c r="A13" s="5" t="inlineStr">
        <is>
          <t>GP total profit (promote + co-invest)</t>
        </is>
      </c>
      <c r="B13" s="28">
        <f>B6-B12</f>
        <v/>
      </c>
    </row>
    <row r="14">
      <c r="A14" s="5" t="inlineStr">
        <is>
          <t>LP return on capital (hold)</t>
        </is>
      </c>
      <c r="B14" s="23">
        <f>B12/B7</f>
        <v/>
      </c>
    </row>
    <row r="15">
      <c r="A15" s="5" t="inlineStr">
        <is>
          <t>LP annualized</t>
        </is>
      </c>
      <c r="B15" s="23">
        <f>B14*12/Assumptions!$B$27</f>
        <v/>
      </c>
    </row>
    <row r="16">
      <c r="A16" s="5" t="inlineStr">
        <is>
          <t>LP equity multiple</t>
        </is>
      </c>
      <c r="B16" s="29">
        <f>1+B14</f>
        <v/>
      </c>
    </row>
    <row r="17">
      <c r="A17" s="5" t="inlineStr">
        <is>
          <t>GP annualized on co-invest</t>
        </is>
      </c>
      <c r="B17" s="23">
        <f>IF(B8=0,0,B13/B8*12/Assumptions!$B$27)</f>
        <v/>
      </c>
    </row>
    <row r="21">
      <c r="A21" s="16" t="inlineStr">
        <is>
          <t>Dimension</t>
        </is>
      </c>
      <c r="B21" s="16" t="inlineStr">
        <is>
          <t>LP Syndication</t>
        </is>
      </c>
      <c r="C21" s="16" t="inlineStr">
        <is>
          <t>Single-Partner JV</t>
        </is>
      </c>
    </row>
    <row r="22">
      <c r="A22" s="5" t="inlineStr">
        <is>
          <t>Sourcing, negotiation, MAO discipline</t>
        </is>
      </c>
      <c r="B22" t="inlineStr">
        <is>
          <t>GP (sponsor)</t>
        </is>
      </c>
      <c r="C22" t="inlineStr">
        <is>
          <t>Operator</t>
        </is>
      </c>
    </row>
    <row r="23">
      <c r="A23" s="5" t="inlineStr">
        <is>
          <t>Capital</t>
        </is>
      </c>
      <c r="B23" t="inlineStr">
        <is>
          <t>LPs 90% / GP 10% first-loss</t>
        </is>
      </c>
      <c r="C23" t="inlineStr">
        <is>
          <t>Capital partner 100%</t>
        </is>
      </c>
    </row>
    <row r="24">
      <c r="A24" s="5" t="inlineStr">
        <is>
          <t>Debt guarantee / carve-outs</t>
        </is>
      </c>
      <c r="B24" t="inlineStr">
        <is>
          <t>GP</t>
        </is>
      </c>
      <c r="C24" t="inlineStr">
        <is>
          <t>Negotiated (usually operator)</t>
        </is>
      </c>
    </row>
    <row r="25">
      <c r="A25" s="5" t="inlineStr">
        <is>
          <t>Asset &amp; lease management</t>
        </is>
      </c>
      <c r="B25" t="inlineStr">
        <is>
          <t>GP</t>
        </is>
      </c>
      <c r="C25" t="inlineStr">
        <is>
          <t>Operator</t>
        </is>
      </c>
    </row>
    <row r="26">
      <c r="A26" s="5" t="inlineStr">
        <is>
          <t>Disposition decision</t>
        </is>
      </c>
      <c r="B26" t="inlineStr">
        <is>
          <t>GP (LP consent on major)</t>
        </is>
      </c>
      <c r="C26" t="inlineStr">
        <is>
          <t>Joint / dual-approval</t>
        </is>
      </c>
    </row>
    <row r="27">
      <c r="A27" s="5" t="inlineStr">
        <is>
          <t>Reporting</t>
        </is>
      </c>
      <c r="B27" t="inlineStr">
        <is>
          <t>Monthly to LPs</t>
        </is>
      </c>
      <c r="C27" t="inlineStr">
        <is>
          <t>Direct, shared dashboard</t>
        </is>
      </c>
    </row>
    <row r="28">
      <c r="A28" s="5" t="inlineStr">
        <is>
          <t>Fees</t>
        </is>
      </c>
      <c r="B28" t="inlineStr">
        <is>
          <t>None (promote only)</t>
        </is>
      </c>
      <c r="C28" t="inlineStr">
        <is>
          <t>None (split only)</t>
        </is>
      </c>
    </row>
    <row r="29">
      <c r="A29" s="5" t="inlineStr">
        <is>
          <t>Decision speed</t>
        </is>
      </c>
      <c r="B29" t="inlineStr">
        <is>
          <t>Fast (GP controls)</t>
        </is>
      </c>
      <c r="C29" t="inlineStr">
        <is>
          <t>Slower (two signatures)</t>
        </is>
      </c>
    </row>
    <row r="30">
      <c r="A30" s="5" t="inlineStr">
        <is>
          <t>Best when</t>
        </is>
      </c>
      <c r="B30" t="inlineStr">
        <is>
          <t>Multiple passive checks $50-250k</t>
        </is>
      </c>
      <c r="C30" t="inlineStr">
        <is>
          <t>One relationship writes the whole check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Why Buy-and-Hold Rental is REJECTED (shown for discipline)</t>
        </is>
      </c>
    </row>
    <row r="2">
      <c r="A2" s="2" t="inlineStr">
        <is>
          <t>The asset cannot carry itself as a rental at any financeable leverage — the thesis must be the sale, not the yield.</t>
        </is>
      </c>
    </row>
    <row r="4">
      <c r="A4" s="5" t="inlineStr">
        <is>
          <t>Gross unfurnished rent / yr</t>
        </is>
      </c>
      <c r="B4" s="28">
        <f>Assumptions!$B$24*12</f>
        <v/>
      </c>
    </row>
    <row r="5">
      <c r="A5" s="5" t="inlineStr">
        <is>
          <t>Taxes (fully reassessed, non-homestead)</t>
        </is>
      </c>
      <c r="B5" s="28">
        <f>27000</f>
        <v/>
      </c>
    </row>
    <row r="6">
      <c r="A6" s="5" t="inlineStr">
        <is>
          <t>Insurance</t>
        </is>
      </c>
      <c r="B6" s="28">
        <f>Assumptions!$B$18</f>
        <v/>
      </c>
    </row>
    <row r="7">
      <c r="A7" s="5" t="inlineStr">
        <is>
          <t>Management</t>
        </is>
      </c>
      <c r="B7" s="28">
        <f>B4*Assumptions!$B$23</f>
        <v/>
      </c>
    </row>
    <row r="8">
      <c r="A8" s="5" t="inlineStr">
        <is>
          <t>Maintenance / reserves</t>
        </is>
      </c>
      <c r="B8" s="28">
        <f>6000</f>
        <v/>
      </c>
    </row>
    <row r="9">
      <c r="A9" s="5" t="inlineStr">
        <is>
          <t>NOI</t>
        </is>
      </c>
      <c r="B9" s="28">
        <f>B4-B5-B6-B7-B8</f>
        <v/>
      </c>
    </row>
    <row r="10">
      <c r="A10" s="5" t="inlineStr">
        <is>
          <t>Cap rate at ask price</t>
        </is>
      </c>
      <c r="B10" s="30">
        <f>B9/Assumptions!$B$5</f>
        <v/>
      </c>
    </row>
    <row r="12">
      <c r="A12" s="16" t="inlineStr">
        <is>
          <t>LTV</t>
        </is>
      </c>
      <c r="B12" s="16" t="inlineStr">
        <is>
          <t>Loan</t>
        </is>
      </c>
      <c r="C12" s="16" t="inlineStr">
        <is>
          <t>Debt service (IO)</t>
        </is>
      </c>
      <c r="D12" s="16" t="inlineStr">
        <is>
          <t>DSCR</t>
        </is>
      </c>
      <c r="E12" s="16" t="inlineStr">
        <is>
          <t>Lender floor</t>
        </is>
      </c>
    </row>
    <row r="13">
      <c r="A13" s="22" t="n">
        <v>0.6</v>
      </c>
      <c r="B13" s="21">
        <f>Assumptions!$B$5*A13</f>
        <v/>
      </c>
      <c r="C13" s="21">
        <f>B13*Assumptions!$B$37</f>
        <v/>
      </c>
      <c r="D13" s="31">
        <f>$B$9/C13</f>
        <v/>
      </c>
      <c r="E13" t="inlineStr">
        <is>
          <t>1.00–1.25</t>
        </is>
      </c>
    </row>
    <row r="14">
      <c r="A14" s="22" t="n">
        <v>0.7</v>
      </c>
      <c r="B14" s="21">
        <f>Assumptions!$B$5*A14</f>
        <v/>
      </c>
      <c r="C14" s="21">
        <f>B14*Assumptions!$B$37</f>
        <v/>
      </c>
      <c r="D14" s="31">
        <f>$B$9/C14</f>
        <v/>
      </c>
      <c r="E14" t="inlineStr">
        <is>
          <t>1.00–1.25</t>
        </is>
      </c>
    </row>
    <row r="15">
      <c r="A15" s="22" t="n">
        <v>0.75</v>
      </c>
      <c r="B15" s="21">
        <f>Assumptions!$B$5*A15</f>
        <v/>
      </c>
      <c r="C15" s="21">
        <f>B15*Assumptions!$B$37</f>
        <v/>
      </c>
      <c r="D15" s="31">
        <f>$B$9/C15</f>
        <v/>
      </c>
      <c r="E15" t="inlineStr">
        <is>
          <t>1.00–1.25</t>
        </is>
      </c>
    </row>
    <row r="17">
      <c r="A17" s="32" t="inlineStr">
        <is>
          <t>Refi contingency: 75% cash-out at 7.75% needs ~$119k/yr debt service vs ~$41k furnished NOI → DSCR 0.34. Plan B is a price cut to the $2.0–2.05M comp floor (bear case), not a hold.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48" customWidth="1" min="8" max="8"/>
  </cols>
  <sheetData>
    <row r="1">
      <c r="A1" s="1" t="inlineStr">
        <is>
          <t>Comparable Sales &amp; Market Data (researched July 2026)</t>
        </is>
      </c>
    </row>
    <row r="2">
      <c r="A2" s="2" t="inlineStr">
        <is>
          <t>Full sourcing in MARKET_DATA.md. Subject: 5,120 sqft new 2025 build; ask $2.15M = $420/sqft after -20% cut from $2.695M.</t>
        </is>
      </c>
    </row>
    <row r="4">
      <c r="A4" s="16" t="inlineStr">
        <is>
          <t>Address</t>
        </is>
      </c>
      <c r="B4" s="16" t="inlineStr">
        <is>
          <t>Sold price</t>
        </is>
      </c>
      <c r="C4" s="16" t="inlineStr">
        <is>
          <t>Date</t>
        </is>
      </c>
      <c r="D4" s="16" t="inlineStr">
        <is>
          <t>SqFt</t>
        </is>
      </c>
      <c r="E4" s="16" t="inlineStr">
        <is>
          <t>$/SqFt</t>
        </is>
      </c>
      <c r="F4" s="16" t="inlineStr">
        <is>
          <t>Bd/Ba</t>
        </is>
      </c>
      <c r="G4" s="16" t="inlineStr">
        <is>
          <t>Built</t>
        </is>
      </c>
      <c r="H4" s="16" t="inlineStr">
        <is>
          <t>Notes</t>
        </is>
      </c>
    </row>
    <row r="5">
      <c r="A5" t="inlineStr">
        <is>
          <t>477 Michael Dr, 30009 (same pocket)</t>
        </is>
      </c>
      <c r="B5" s="21" t="n">
        <v>2025000</v>
      </c>
      <c r="C5" t="inlineStr">
        <is>
          <t>Aug 2025</t>
        </is>
      </c>
      <c r="D5" s="33" t="n">
        <v>4804</v>
      </c>
      <c r="E5" s="21">
        <f>B5/D5</f>
        <v/>
      </c>
      <c r="F5" t="inlineStr">
        <is>
          <t>5/4.5</t>
        </is>
      </c>
      <c r="G5" t="n">
        <v>2024</v>
      </c>
      <c r="H5" t="inlineStr">
        <is>
          <t>New construction; 92% of list, ~55 DOM — best comp</t>
        </is>
      </c>
    </row>
    <row r="6">
      <c r="A6" t="inlineStr">
        <is>
          <t>2444 Tenor Ln, 30009 (Avalon-adj.)</t>
        </is>
      </c>
      <c r="B6" s="21" t="n">
        <v>2224500</v>
      </c>
      <c r="C6" t="inlineStr">
        <is>
          <t>May 2025</t>
        </is>
      </c>
      <c r="D6" s="33" t="n">
        <v>3506</v>
      </c>
      <c r="E6" s="21">
        <f>B6/D6</f>
        <v/>
      </c>
      <c r="F6" t="inlineStr">
        <is>
          <t>3/3.5</t>
        </is>
      </c>
      <c r="G6" t="n">
        <v>2024</v>
      </c>
      <c r="H6" t="inlineStr">
        <is>
          <t>Walkability premium, small format</t>
        </is>
      </c>
    </row>
    <row r="7">
      <c r="A7" t="inlineStr">
        <is>
          <t>135 Von Lake Dr, 30004</t>
        </is>
      </c>
      <c r="B7" s="21" t="n">
        <v>2292500</v>
      </c>
      <c r="C7" t="inlineStr">
        <is>
          <t>Oct 2025</t>
        </is>
      </c>
      <c r="D7" s="33" t="n">
        <v>7300</v>
      </c>
      <c r="E7" s="21">
        <f>B7/D7</f>
        <v/>
      </c>
      <c r="F7" t="inlineStr">
        <is>
          <t>5/5.5</t>
        </is>
      </c>
      <c r="G7" t="n">
        <v>2023</v>
      </c>
      <c r="H7" t="inlineStr">
        <is>
          <t>1-acre; 95.6% of list, ~2.5 mo</t>
        </is>
      </c>
    </row>
    <row r="8">
      <c r="A8" t="inlineStr">
        <is>
          <t>2863 Stirling Ridge Ct, 30004</t>
        </is>
      </c>
      <c r="B8" s="21" t="n">
        <v>2032500</v>
      </c>
      <c r="C8" t="inlineStr">
        <is>
          <t>Jun 2025</t>
        </is>
      </c>
      <c r="D8" s="33" t="n">
        <v>5510</v>
      </c>
      <c r="E8" s="21">
        <f>B8/D8</f>
        <v/>
      </c>
      <c r="F8" t="inlineStr">
        <is>
          <t>6/8</t>
        </is>
      </c>
      <c r="G8" t="n">
        <v>2006</v>
      </c>
      <c r="H8" t="inlineStr">
        <is>
          <t>Resale estate — absorption datum</t>
        </is>
      </c>
    </row>
    <row r="9">
      <c r="A9" t="inlineStr">
        <is>
          <t>1070 Mid Broadwell Rd, 30004</t>
        </is>
      </c>
      <c r="B9" s="21" t="n">
        <v>2630444</v>
      </c>
      <c r="C9" t="inlineStr">
        <is>
          <t>Jun 2023</t>
        </is>
      </c>
      <c r="D9" s="33" t="n">
        <v>4822</v>
      </c>
      <c r="E9" s="21">
        <f>B9/D9</f>
        <v/>
      </c>
      <c r="F9" t="inlineStr">
        <is>
          <t>5/5.5</t>
        </is>
      </c>
      <c r="G9" t="n">
        <v>2023</v>
      </c>
      <c r="H9" t="inlineStr">
        <is>
          <t>High-water $/sqft precedent (2023)</t>
        </is>
      </c>
    </row>
    <row r="10">
      <c r="A10" t="inlineStr">
        <is>
          <t>289 Milton Ave, 30009 (downtown)</t>
        </is>
      </c>
      <c r="B10" s="21" t="n">
        <v>1844000</v>
      </c>
      <c r="C10" t="inlineStr">
        <is>
          <t>Jun 2023</t>
        </is>
      </c>
      <c r="D10" s="33" t="n">
        <v>4617</v>
      </c>
      <c r="E10" s="21">
        <f>B10/D10</f>
        <v/>
      </c>
      <c r="F10" t="inlineStr">
        <is>
          <t>5/4</t>
        </is>
      </c>
      <c r="G10" t="n">
        <v>2017</v>
      </c>
      <c r="H10" t="inlineStr">
        <is>
          <t>Near-new resale, walkable</t>
        </is>
      </c>
    </row>
    <row r="13">
      <c r="A13" s="3" t="inlineStr">
        <is>
          <t>SUBJECT TIMELINE</t>
        </is>
      </c>
    </row>
    <row r="14">
      <c r="A14" s="5" t="inlineStr">
        <is>
          <t>Oct 2024 — lot/teardown acquired by builder</t>
        </is>
      </c>
      <c r="B14" s="34" t="inlineStr">
        <is>
          <t>$570,000</t>
        </is>
      </c>
    </row>
    <row r="15">
      <c r="A15" s="5" t="inlineStr">
        <is>
          <t>Aug 2025 — listed (Ansley / Christie's, FMLS 7622905)</t>
        </is>
      </c>
      <c r="B15" s="34" t="inlineStr">
        <is>
          <t>$2,695,000 ($526/sqft)</t>
        </is>
      </c>
    </row>
    <row r="16">
      <c r="A16" s="5" t="inlineStr">
        <is>
          <t>Feb 2026 — relisted, builder self-listing (FMLS 7719521)</t>
        </is>
      </c>
      <c r="B16" s="34" t="inlineStr">
        <is>
          <t>$2,150,000 ($420/sqft) — a 20.2% cut</t>
        </is>
      </c>
    </row>
    <row r="17">
      <c r="A17" s="5" t="inlineStr">
        <is>
          <t>Jul 2026 — still ACTIVE; ~11 months cumulative market time</t>
        </is>
      </c>
      <c r="B17" s="34" t="inlineStr">
        <is>
          <t>possible further cut to ~$2.0M (unconfirmed)</t>
        </is>
      </c>
    </row>
    <row r="18">
      <c r="A18" s="3" t="inlineStr">
        <is>
          <t>MARKET SNAPSHOT</t>
        </is>
      </c>
    </row>
    <row r="19">
      <c r="A19" s="5" t="inlineStr">
        <is>
          <t>Comp support band (closed new construction)</t>
        </is>
      </c>
      <c r="B19" s="34" t="inlineStr">
        <is>
          <t>$420–470/sqft → $2.15M–$2.41M</t>
        </is>
      </c>
    </row>
    <row r="20">
      <c r="A20" s="5" t="inlineStr">
        <is>
          <t>Alpharetta median sale price (2026)</t>
        </is>
      </c>
      <c r="B20" s="34" t="inlineStr">
        <is>
          <t>$724k–740k; 2.3 months supply; ~97% list-to-sale</t>
        </is>
      </c>
    </row>
    <row r="21">
      <c r="A21" s="5" t="inlineStr">
        <is>
          <t>Alpharetta avg DOM 2025 / early 2026</t>
        </is>
      </c>
      <c r="B21" s="34" t="inlineStr">
        <is>
          <t>~34 days / ~21 days — subject is 10x+ over</t>
        </is>
      </c>
    </row>
    <row r="22">
      <c r="A22" s="5" t="inlineStr">
        <is>
          <t>30009 median $/sqft (all housing)</t>
        </is>
      </c>
      <c r="B22" s="34" t="inlineStr">
        <is>
          <t>$303, down ~4.6% YoY</t>
        </is>
      </c>
    </row>
    <row r="23">
      <c r="A23" s="5" t="inlineStr">
        <is>
          <t>Median household income (Alpharetta)</t>
        </is>
      </c>
      <c r="B23" s="34" t="inlineStr">
        <is>
          <t>~$147,000; ~900 tech firms; Milton HS 10/10</t>
        </is>
      </c>
    </row>
    <row r="24">
      <c r="A24" s="5" t="inlineStr">
        <is>
          <t>Financing (mid-2026)</t>
        </is>
      </c>
      <c r="B24" s="34" t="inlineStr">
        <is>
          <t>Jumbo 6.6% | DSCR 7.0–7.5% | Bridge/HM ~9.5–10.2% + 2–3 pts | Cash-out 7.75%</t>
        </is>
      </c>
    </row>
    <row r="25">
      <c r="A25" s="5" t="inlineStr">
        <is>
          <t>Rents: unfurnished / furnished exec</t>
        </is>
      </c>
      <c r="B25" s="34" t="inlineStr">
        <is>
          <t>$5.5–7.5k/mo / ~$8–11k/mo; thin depth above $7k</t>
        </is>
      </c>
    </row>
    <row r="26">
      <c r="A26" s="5" t="inlineStr">
        <is>
          <t>Taxes non-homestead (31.7 mills x 40% AV)</t>
        </is>
      </c>
      <c r="B26" s="34" t="inlineStr">
        <is>
          <t>~$27k/yr at $2.15M FMV; insurance ~$12k/yr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2026-07-05T02:45:12Z</dcterms:created>
  <dcterms:modified xsi:type="dcterms:W3CDTF">2026-07-05T02:45:12Z</dcterms:modified>
</cp:coreProperties>
</file>